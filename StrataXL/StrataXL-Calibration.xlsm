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Development\Visual Studio\StrataXL\"/>
    </mc:Choice>
  </mc:AlternateContent>
  <xr:revisionPtr revIDLastSave="0" documentId="13_ncr:1_{1DAE2417-B036-4D48-B9B5-7EB803A5CC21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Single-Currency Calibration" sheetId="2" r:id="rId1"/>
    <sheet name="Sheet1" sheetId="3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3" l="1"/>
  <c r="D2" i="3"/>
  <c r="D3" i="3"/>
  <c r="D4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1" i="3"/>
</calcChain>
</file>

<file path=xl/sharedStrings.xml><?xml version="1.0" encoding="utf-8"?>
<sst xmlns="http://schemas.openxmlformats.org/spreadsheetml/2006/main" count="209" uniqueCount="56">
  <si>
    <t>DISCOUNT</t>
  </si>
  <si>
    <t>LINEAR</t>
  </si>
  <si>
    <t>ACT/365F</t>
  </si>
  <si>
    <t>Tenor</t>
  </si>
  <si>
    <t>1W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</si>
  <si>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</si>
  <si>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</si>
  <si>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</si>
  <si>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</si>
  <si>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</si>
  <si>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</si>
  <si>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</si>
  <si>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</si>
  <si>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</si>
  <si>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</si>
  <si>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</si>
  <si>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</si>
  <si>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</si>
  <si>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</si>
  <si>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</si>
  <si>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</si>
  <si>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</si>
  <si>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</si>
  <si>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</si>
  <si>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</si>
  <si>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</si>
  <si>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</si>
  <si>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</si>
  <si>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</si>
  <si>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</si>
  <si>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25Y</t>
  </si>
  <si>
    <t>30Y</t>
  </si>
  <si>
    <t>40Y</t>
  </si>
  <si>
    <t>50Y</t>
  </si>
  <si>
    <t>60Y</t>
  </si>
  <si>
    <t>Type:</t>
  </si>
  <si>
    <t>Index:</t>
  </si>
  <si>
    <t>USD-FED-FUND</t>
  </si>
  <si>
    <t>Business Days:</t>
  </si>
  <si>
    <t>Instrument</t>
  </si>
  <si>
    <t>ON</t>
  </si>
  <si>
    <t>OIS</t>
  </si>
  <si>
    <t>Market Quote</t>
  </si>
  <si>
    <t>FLAT</t>
  </si>
  <si>
    <t>USD-LIBOR-3M</t>
  </si>
  <si>
    <t>FIX</t>
  </si>
  <si>
    <t>FRA</t>
  </si>
  <si>
    <t>FUT</t>
  </si>
  <si>
    <t>18M</t>
  </si>
  <si>
    <t>USD-LIBOR-6M</t>
  </si>
  <si>
    <t>DEP</t>
  </si>
  <si>
    <t>FORWARD</t>
  </si>
  <si>
    <t>Interpolation:</t>
  </si>
  <si>
    <t>Extrapolation:</t>
  </si>
  <si>
    <t>IRS</t>
  </si>
  <si>
    <t>Spread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</si>
</sst>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4" fillId="2" borderId="2" xfId="0" applyFont="1" applyFill="1" applyBorder="1" applyAlignment="1">
      <alignment horizontal="left" vertical="center" indent="22"/>
    </xf>
    <xf numFmtId="0" fontId="4" fillId="2" borderId="3" xfId="0" applyFont="1" applyFill="1" applyBorder="1" applyAlignment="1">
      <alignment horizontal="left" vertical="center" indent="22"/>
    </xf>
    <xf numFmtId="0" fontId="4" fillId="2" borderId="4" xfId="0" applyFont="1" applyFill="1" applyBorder="1" applyAlignment="1">
      <alignment horizontal="left" vertical="center" indent="22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85725</xdr:rowOff>
        </xdr:from>
        <xdr:to>
          <xdr:col>11</xdr:col>
          <xdr:colOff>1038225</xdr:colOff>
          <xdr:row>0</xdr:row>
          <xdr:rowOff>495300</xdr:rowOff>
        </xdr:to>
        <xdr:sp macro="" textlink="">
          <xdr:nvSpPr>
            <xdr:cNvPr id="2049" name="Button 1" descr="Calibra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9E099-A03C-48A8-ABAB-2E47ACD40315}">
  <sheetPr codeName="Sheet1">
    <tabColor theme="9"/>
  </sheetPr>
  <dimension ref="A1:L39"/>
  <sheetViews>
    <sheetView tabSelected="1" workbookViewId="0">
      <selection sqref="A1:L1"/>
    </sheetView>
  </sheetViews>
  <sheetFormatPr defaultRowHeight="15" x14ac:dyDescent="0.25"/>
  <cols>
    <col min="1" max="12" width="16.7109375" style="2" customWidth="1"/>
    <col min="13" max="16384" width="9.140625" style="2"/>
  </cols>
  <sheetData>
    <row r="1" spans="1:12" ht="45" customHeight="1" x14ac:dyDescent="0.25">
      <c r="A1" s="7"/>
      <c r="B1" s="8"/>
      <c r="C1" s="8"/>
      <c r="D1" s="8"/>
      <c r="E1" s="8"/>
      <c r="F1" s="8"/>
      <c r="G1" s="8"/>
      <c r="H1" s="8"/>
      <c r="I1" s="8"/>
      <c r="J1" s="8"/>
      <c r="K1" s="8"/>
      <c r="L1" s="9"/>
    </row>
    <row r="2" spans="1:12" ht="15" customHeight="1" x14ac:dyDescent="0.25">
      <c r="A2" s="3" t="s">
        <v>35</v>
      </c>
      <c r="B2" s="10" t="s">
        <v>0</v>
      </c>
      <c r="C2" s="10"/>
      <c r="D2" s="10"/>
      <c r="E2" s="3" t="s">
        <v>35</v>
      </c>
      <c r="F2" s="10" t="s">
        <v>51</v>
      </c>
      <c r="G2" s="10"/>
      <c r="H2" s="10"/>
      <c r="I2" s="3" t="s">
        <v>35</v>
      </c>
      <c r="J2" s="10" t="s">
        <v>51</v>
      </c>
      <c r="K2" s="10"/>
      <c r="L2" s="10"/>
    </row>
    <row r="3" spans="1:12" ht="15" customHeight="1" x14ac:dyDescent="0.25">
      <c r="A3" s="3" t="s">
        <v>36</v>
      </c>
      <c r="B3" s="10" t="s">
        <v>37</v>
      </c>
      <c r="C3" s="10"/>
      <c r="D3" s="10"/>
      <c r="E3" s="3" t="s">
        <v>36</v>
      </c>
      <c r="F3" s="10" t="s">
        <v>44</v>
      </c>
      <c r="G3" s="10"/>
      <c r="H3" s="10"/>
      <c r="I3" s="3" t="s">
        <v>36</v>
      </c>
      <c r="J3" s="10" t="s">
        <v>49</v>
      </c>
      <c r="K3" s="10"/>
      <c r="L3" s="10"/>
    </row>
    <row r="4" spans="1:12" ht="17.25" customHeight="1" x14ac:dyDescent="0.25">
      <c r="A4" s="3" t="s">
        <v>52</v>
      </c>
      <c r="B4" s="10" t="s">
        <v>1</v>
      </c>
      <c r="C4" s="10"/>
      <c r="D4" s="10"/>
      <c r="E4" s="3" t="s">
        <v>52</v>
      </c>
      <c r="F4" s="10" t="s">
        <v>1</v>
      </c>
      <c r="G4" s="10"/>
      <c r="H4" s="10"/>
      <c r="I4" s="3" t="s">
        <v>52</v>
      </c>
      <c r="J4" s="10" t="s">
        <v>1</v>
      </c>
      <c r="K4" s="10"/>
      <c r="L4" s="10"/>
    </row>
    <row r="5" spans="1:12" ht="17.25" customHeight="1" x14ac:dyDescent="0.25">
      <c r="A5" s="3" t="s">
        <v>53</v>
      </c>
      <c r="B5" s="10" t="s">
        <v>43</v>
      </c>
      <c r="C5" s="10"/>
      <c r="D5" s="10"/>
      <c r="E5" s="3" t="s">
        <v>53</v>
      </c>
      <c r="F5" s="10" t="s">
        <v>43</v>
      </c>
      <c r="G5" s="10"/>
      <c r="H5" s="10"/>
      <c r="I5" s="3" t="s">
        <v>53</v>
      </c>
      <c r="J5" s="10" t="s">
        <v>43</v>
      </c>
      <c r="K5" s="10"/>
      <c r="L5" s="10"/>
    </row>
    <row r="6" spans="1:12" ht="17.25" customHeight="1" x14ac:dyDescent="0.25">
      <c r="A6" s="3" t="s">
        <v>38</v>
      </c>
      <c r="B6" s="10" t="s">
        <v>2</v>
      </c>
      <c r="C6" s="10"/>
      <c r="D6" s="10"/>
      <c r="E6" s="3" t="s">
        <v>38</v>
      </c>
      <c r="F6" s="10" t="s">
        <v>2</v>
      </c>
      <c r="G6" s="10"/>
      <c r="H6" s="10"/>
      <c r="I6" s="3" t="s">
        <v>38</v>
      </c>
      <c r="J6" s="10" t="s">
        <v>2</v>
      </c>
      <c r="K6" s="10"/>
      <c r="L6" s="10"/>
    </row>
    <row r="7" spans="1:12" x14ac:dyDescent="0.25">
      <c r="A7" s="1" t="s">
        <v>3</v>
      </c>
      <c r="B7" s="1" t="s">
        <v>39</v>
      </c>
      <c r="C7" s="1" t="s">
        <v>42</v>
      </c>
      <c r="D7" s="1" t="s">
        <v>55</v>
      </c>
      <c r="E7" s="1" t="s">
        <v>3</v>
      </c>
      <c r="F7" s="1" t="s">
        <v>39</v>
      </c>
      <c r="G7" s="1" t="s">
        <v>42</v>
      </c>
      <c r="H7" s="1" t="s">
        <v>55</v>
      </c>
      <c r="I7" s="1" t="s">
        <v>3</v>
      </c>
      <c r="J7" s="1" t="s">
        <v>39</v>
      </c>
      <c r="K7" s="1" t="s">
        <v>42</v>
      </c>
      <c r="L7" s="1" t="s">
        <v>55</v>
      </c>
    </row>
    <row r="8" spans="1:12" x14ac:dyDescent="0.25">
      <c r="A8" s="4" t="s">
        <v>40</v>
      </c>
      <c r="B8" s="4" t="s">
        <v>50</v>
      </c>
      <c r="C8" s="5">
        <v>2.2728818800000002E-2</v>
      </c>
      <c r="D8" s="5">
        <v>0</v>
      </c>
      <c r="E8" s="4" t="s">
        <v>9</v>
      </c>
      <c r="F8" s="4" t="s">
        <v>45</v>
      </c>
      <c r="G8" s="5">
        <v>2.41288188E-2</v>
      </c>
      <c r="H8" s="5">
        <v>0</v>
      </c>
      <c r="I8" s="4" t="s">
        <v>12</v>
      </c>
      <c r="J8" s="4" t="s">
        <v>45</v>
      </c>
      <c r="K8" s="5">
        <v>2.5028818800000002E-2</v>
      </c>
      <c r="L8" s="5">
        <v>0</v>
      </c>
    </row>
    <row r="9" spans="1:12" x14ac:dyDescent="0.25">
      <c r="A9" s="4" t="s">
        <v>4</v>
      </c>
      <c r="B9" s="4" t="s">
        <v>41</v>
      </c>
      <c r="C9" s="5">
        <v>2.2873128999999999E-2</v>
      </c>
      <c r="D9" s="5">
        <v>0</v>
      </c>
      <c r="E9" s="4" t="s">
        <v>12</v>
      </c>
      <c r="F9" s="4" t="s">
        <v>46</v>
      </c>
      <c r="G9" s="5">
        <v>2.6670029000000001E-2</v>
      </c>
      <c r="H9" s="5">
        <v>0</v>
      </c>
      <c r="I9" s="4" t="s">
        <v>15</v>
      </c>
      <c r="J9" s="4" t="s">
        <v>46</v>
      </c>
      <c r="K9" s="5">
        <v>2.77184857E-2</v>
      </c>
      <c r="L9" s="5">
        <v>0</v>
      </c>
    </row>
    <row r="10" spans="1:12" x14ac:dyDescent="0.25">
      <c r="A10" s="4" t="s">
        <v>5</v>
      </c>
      <c r="B10" s="4" t="s">
        <v>41</v>
      </c>
      <c r="C10" s="5">
        <v>2.3175099300000002E-2</v>
      </c>
      <c r="D10" s="5">
        <v>0</v>
      </c>
      <c r="E10" s="4" t="s">
        <v>15</v>
      </c>
      <c r="F10" s="4" t="s">
        <v>46</v>
      </c>
      <c r="G10" s="5">
        <v>2.6591389199999999E-2</v>
      </c>
      <c r="H10" s="5">
        <v>0</v>
      </c>
      <c r="I10" s="4" t="s">
        <v>18</v>
      </c>
      <c r="J10" s="4" t="s">
        <v>54</v>
      </c>
      <c r="K10" s="5">
        <v>2.7472976199999999E-2</v>
      </c>
      <c r="L10" s="5">
        <v>0</v>
      </c>
    </row>
    <row r="11" spans="1:12" x14ac:dyDescent="0.25">
      <c r="A11" s="4" t="s">
        <v>6</v>
      </c>
      <c r="B11" s="4" t="s">
        <v>41</v>
      </c>
      <c r="C11" s="5">
        <v>2.33747864E-2</v>
      </c>
      <c r="D11" s="5">
        <v>0</v>
      </c>
      <c r="E11" s="4" t="s">
        <v>18</v>
      </c>
      <c r="F11" s="4" t="s">
        <v>54</v>
      </c>
      <c r="G11" s="5">
        <v>2.67228724E-2</v>
      </c>
      <c r="H11" s="5">
        <v>0</v>
      </c>
      <c r="I11" s="4" t="s">
        <v>48</v>
      </c>
      <c r="J11" s="4" t="s">
        <v>47</v>
      </c>
      <c r="K11" s="5">
        <v>97.272888350000002</v>
      </c>
      <c r="L11" s="5">
        <v>0</v>
      </c>
    </row>
    <row r="12" spans="1:12" x14ac:dyDescent="0.25">
      <c r="A12" s="4" t="s">
        <v>7</v>
      </c>
      <c r="B12" s="4" t="s">
        <v>41</v>
      </c>
      <c r="C12" s="5">
        <v>2.3573220999999998E-2</v>
      </c>
      <c r="D12" s="5">
        <v>0</v>
      </c>
      <c r="E12" s="4" t="s">
        <v>48</v>
      </c>
      <c r="F12" s="4" t="s">
        <v>47</v>
      </c>
      <c r="G12" s="5">
        <v>97.346998009999993</v>
      </c>
      <c r="H12" s="5">
        <v>0</v>
      </c>
      <c r="I12" s="4" t="s">
        <v>19</v>
      </c>
      <c r="J12" s="4" t="s">
        <v>54</v>
      </c>
      <c r="K12" s="5">
        <v>2.6992994999999999E-2</v>
      </c>
      <c r="L12" s="5">
        <v>0</v>
      </c>
    </row>
    <row r="13" spans="1:12" x14ac:dyDescent="0.25">
      <c r="A13" s="4" t="s">
        <v>8</v>
      </c>
      <c r="B13" s="4" t="s">
        <v>41</v>
      </c>
      <c r="C13" s="5">
        <v>2.3693241279999999E-2</v>
      </c>
      <c r="D13" s="5">
        <v>0</v>
      </c>
      <c r="E13" s="4" t="s">
        <v>19</v>
      </c>
      <c r="F13" s="4" t="s">
        <v>54</v>
      </c>
      <c r="G13" s="5">
        <v>2.62423489E-2</v>
      </c>
      <c r="H13" s="5">
        <v>0</v>
      </c>
      <c r="I13" s="4" t="s">
        <v>20</v>
      </c>
      <c r="J13" s="4" t="s">
        <v>54</v>
      </c>
      <c r="K13" s="5">
        <v>2.65412636E-2</v>
      </c>
      <c r="L13" s="5">
        <v>0</v>
      </c>
    </row>
    <row r="14" spans="1:12" x14ac:dyDescent="0.25">
      <c r="A14" s="4" t="s">
        <v>9</v>
      </c>
      <c r="B14" s="4" t="s">
        <v>41</v>
      </c>
      <c r="C14" s="5">
        <v>2.3925141399999999E-2</v>
      </c>
      <c r="D14" s="5">
        <v>0</v>
      </c>
      <c r="E14" s="4" t="s">
        <v>20</v>
      </c>
      <c r="F14" s="4" t="s">
        <v>54</v>
      </c>
      <c r="G14" s="5">
        <v>2.5775559999999999E-2</v>
      </c>
      <c r="H14" s="5">
        <v>0</v>
      </c>
      <c r="I14" s="4" t="s">
        <v>21</v>
      </c>
      <c r="J14" s="4" t="s">
        <v>54</v>
      </c>
      <c r="K14" s="5">
        <v>2.63746895E-2</v>
      </c>
      <c r="L14" s="5">
        <v>0</v>
      </c>
    </row>
    <row r="15" spans="1:12" x14ac:dyDescent="0.25">
      <c r="A15" s="4" t="s">
        <v>10</v>
      </c>
      <c r="B15" s="4" t="s">
        <v>41</v>
      </c>
      <c r="C15" s="5">
        <v>2.4147479400000001E-2</v>
      </c>
      <c r="D15" s="5">
        <v>0</v>
      </c>
      <c r="E15" s="4" t="s">
        <v>21</v>
      </c>
      <c r="F15" s="4" t="s">
        <v>54</v>
      </c>
      <c r="G15" s="5">
        <v>2.55611377E-2</v>
      </c>
      <c r="H15" s="5">
        <v>0</v>
      </c>
      <c r="I15" s="4" t="s">
        <v>22</v>
      </c>
      <c r="J15" s="4" t="s">
        <v>54</v>
      </c>
      <c r="K15" s="5">
        <v>2.5582170299999998E-2</v>
      </c>
      <c r="L15" s="5">
        <v>8.61E-4</v>
      </c>
    </row>
    <row r="16" spans="1:12" x14ac:dyDescent="0.25">
      <c r="A16" s="4" t="s">
        <v>11</v>
      </c>
      <c r="B16" s="4" t="s">
        <v>41</v>
      </c>
      <c r="C16" s="5">
        <v>2.4289807699999999E-2</v>
      </c>
      <c r="D16" s="5">
        <v>0</v>
      </c>
      <c r="E16" s="4" t="s">
        <v>22</v>
      </c>
      <c r="F16" s="4" t="s">
        <v>54</v>
      </c>
      <c r="G16" s="5">
        <v>2.5610940700000001E-2</v>
      </c>
      <c r="H16" s="5">
        <v>0</v>
      </c>
      <c r="I16" s="4" t="s">
        <v>23</v>
      </c>
      <c r="J16" s="4" t="s">
        <v>54</v>
      </c>
      <c r="K16" s="5">
        <v>2.6644515800000001E-2</v>
      </c>
      <c r="L16" s="5">
        <v>0</v>
      </c>
    </row>
    <row r="17" spans="1:12" x14ac:dyDescent="0.25">
      <c r="A17" s="4" t="s">
        <v>12</v>
      </c>
      <c r="B17" s="4" t="s">
        <v>41</v>
      </c>
      <c r="C17" s="5">
        <v>2.43047617E-2</v>
      </c>
      <c r="D17" s="5">
        <v>0</v>
      </c>
      <c r="E17" s="4" t="s">
        <v>23</v>
      </c>
      <c r="F17" s="4" t="s">
        <v>54</v>
      </c>
      <c r="G17" s="5">
        <v>2.5751477500000002E-2</v>
      </c>
      <c r="H17" s="5">
        <v>0</v>
      </c>
      <c r="I17" s="4" t="s">
        <v>24</v>
      </c>
      <c r="J17" s="4" t="s">
        <v>54</v>
      </c>
      <c r="K17" s="5">
        <v>2.6919925800000001E-2</v>
      </c>
      <c r="L17" s="5">
        <v>0</v>
      </c>
    </row>
    <row r="18" spans="1:12" x14ac:dyDescent="0.25">
      <c r="A18" s="4" t="s">
        <v>13</v>
      </c>
      <c r="B18" s="4" t="s">
        <v>41</v>
      </c>
      <c r="C18" s="5">
        <v>2.4308717099999998E-2</v>
      </c>
      <c r="D18" s="5">
        <v>0</v>
      </c>
      <c r="E18" s="4" t="s">
        <v>24</v>
      </c>
      <c r="F18" s="4" t="s">
        <v>54</v>
      </c>
      <c r="G18" s="5">
        <v>2.5976668500000001E-2</v>
      </c>
      <c r="H18" s="5">
        <v>0</v>
      </c>
      <c r="I18" s="4" t="s">
        <v>25</v>
      </c>
      <c r="J18" s="4" t="s">
        <v>54</v>
      </c>
      <c r="K18" s="5">
        <v>2.72386396E-2</v>
      </c>
      <c r="L18" s="5">
        <v>0</v>
      </c>
    </row>
    <row r="19" spans="1:12" x14ac:dyDescent="0.25">
      <c r="A19" s="4" t="s">
        <v>14</v>
      </c>
      <c r="B19" s="4" t="s">
        <v>41</v>
      </c>
      <c r="C19" s="5">
        <v>2.43128931E-2</v>
      </c>
      <c r="D19" s="5">
        <v>0</v>
      </c>
      <c r="E19" s="4" t="s">
        <v>25</v>
      </c>
      <c r="F19" s="4" t="s">
        <v>54</v>
      </c>
      <c r="G19" s="5">
        <v>2.6255606399999999E-2</v>
      </c>
      <c r="H19" s="5">
        <v>0</v>
      </c>
      <c r="I19" s="4" t="s">
        <v>26</v>
      </c>
      <c r="J19" s="4" t="s">
        <v>54</v>
      </c>
      <c r="K19" s="5">
        <v>2.75815547E-2</v>
      </c>
      <c r="L19" s="5">
        <v>0</v>
      </c>
    </row>
    <row r="20" spans="1:12" x14ac:dyDescent="0.25">
      <c r="A20" s="4" t="s">
        <v>15</v>
      </c>
      <c r="B20" s="4" t="s">
        <v>41</v>
      </c>
      <c r="C20" s="5">
        <v>2.4318003899999999E-2</v>
      </c>
      <c r="D20" s="5">
        <v>0</v>
      </c>
      <c r="E20" s="4" t="s">
        <v>26</v>
      </c>
      <c r="F20" s="4" t="s">
        <v>54</v>
      </c>
      <c r="G20" s="5">
        <v>2.6547308799999999E-2</v>
      </c>
      <c r="H20" s="5">
        <v>0</v>
      </c>
      <c r="I20" s="4" t="s">
        <v>27</v>
      </c>
      <c r="J20" s="4" t="s">
        <v>54</v>
      </c>
      <c r="K20" s="5">
        <v>2.7901694800000001E-2</v>
      </c>
      <c r="L20" s="5">
        <v>0</v>
      </c>
    </row>
    <row r="21" spans="1:12" x14ac:dyDescent="0.25">
      <c r="A21" s="4" t="s">
        <v>16</v>
      </c>
      <c r="B21" s="4" t="s">
        <v>41</v>
      </c>
      <c r="C21" s="5">
        <v>2.43134097E-2</v>
      </c>
      <c r="D21" s="5">
        <v>0</v>
      </c>
      <c r="E21" s="4" t="s">
        <v>27</v>
      </c>
      <c r="F21" s="4" t="s">
        <v>54</v>
      </c>
      <c r="G21" s="5">
        <v>2.68410283E-2</v>
      </c>
      <c r="H21" s="5">
        <v>0</v>
      </c>
      <c r="I21" s="4" t="s">
        <v>28</v>
      </c>
      <c r="J21" s="4" t="s">
        <v>54</v>
      </c>
      <c r="K21" s="5">
        <v>2.9003521800000001E-2</v>
      </c>
      <c r="L21" s="5">
        <v>0</v>
      </c>
    </row>
    <row r="22" spans="1:12" x14ac:dyDescent="0.25">
      <c r="A22" s="4" t="s">
        <v>17</v>
      </c>
      <c r="B22" s="4" t="s">
        <v>41</v>
      </c>
      <c r="C22" s="5">
        <v>2.42974891E-2</v>
      </c>
      <c r="D22" s="5">
        <v>0</v>
      </c>
      <c r="E22" s="4" t="s">
        <v>28</v>
      </c>
      <c r="F22" s="4" t="s">
        <v>54</v>
      </c>
      <c r="G22" s="5">
        <v>2.7874995999999999E-2</v>
      </c>
      <c r="H22" s="5">
        <v>0</v>
      </c>
      <c r="I22" s="4" t="s">
        <v>29</v>
      </c>
      <c r="J22" s="4" t="s">
        <v>54</v>
      </c>
      <c r="K22" s="5">
        <v>2.93582106E-2</v>
      </c>
      <c r="L22" s="5">
        <v>0</v>
      </c>
    </row>
    <row r="23" spans="1:12" x14ac:dyDescent="0.25">
      <c r="A23" s="4" t="s">
        <v>18</v>
      </c>
      <c r="B23" s="4" t="s">
        <v>41</v>
      </c>
      <c r="C23" s="5">
        <v>2.4173460899999999E-2</v>
      </c>
      <c r="D23" s="5">
        <v>0</v>
      </c>
      <c r="E23" s="4" t="s">
        <v>29</v>
      </c>
      <c r="F23" s="4" t="s">
        <v>54</v>
      </c>
      <c r="G23" s="5">
        <v>2.8222146399999998E-2</v>
      </c>
      <c r="H23" s="5">
        <v>0</v>
      </c>
      <c r="I23" s="4" t="s">
        <v>30</v>
      </c>
      <c r="J23" s="4" t="s">
        <v>54</v>
      </c>
      <c r="K23" s="5">
        <v>2.9377751800000001E-2</v>
      </c>
      <c r="L23" s="5">
        <v>0</v>
      </c>
    </row>
    <row r="24" spans="1:12" x14ac:dyDescent="0.25">
      <c r="A24" s="4" t="s">
        <v>19</v>
      </c>
      <c r="B24" s="4" t="s">
        <v>41</v>
      </c>
      <c r="C24" s="5">
        <v>2.3423733400000001E-2</v>
      </c>
      <c r="D24" s="5">
        <v>0</v>
      </c>
      <c r="E24" s="4" t="s">
        <v>30</v>
      </c>
      <c r="F24" s="4" t="s">
        <v>54</v>
      </c>
      <c r="G24" s="5">
        <v>2.69440429E-2</v>
      </c>
      <c r="H24" s="5">
        <v>1.32E-3</v>
      </c>
      <c r="I24" s="4" t="s">
        <v>31</v>
      </c>
      <c r="J24" s="4" t="s">
        <v>54</v>
      </c>
      <c r="K24" s="5">
        <v>2.93137337E-2</v>
      </c>
      <c r="L24" s="5">
        <v>0</v>
      </c>
    </row>
    <row r="25" spans="1:12" x14ac:dyDescent="0.25">
      <c r="A25" s="4" t="s">
        <v>20</v>
      </c>
      <c r="B25" s="4" t="s">
        <v>41</v>
      </c>
      <c r="C25" s="5">
        <v>2.3109933700000002E-2</v>
      </c>
      <c r="D25" s="5">
        <v>0</v>
      </c>
      <c r="E25" s="4" t="s">
        <v>31</v>
      </c>
      <c r="F25" s="4" t="s">
        <v>54</v>
      </c>
      <c r="G25" s="5">
        <v>2.8219145000000001E-2</v>
      </c>
      <c r="H25" s="5">
        <v>0</v>
      </c>
      <c r="I25" s="4" t="s">
        <v>32</v>
      </c>
      <c r="J25" s="4" t="s">
        <v>54</v>
      </c>
      <c r="K25" s="5">
        <v>2.88911271E-2</v>
      </c>
      <c r="L25" s="5">
        <v>0</v>
      </c>
    </row>
    <row r="26" spans="1:12" x14ac:dyDescent="0.25">
      <c r="A26" s="4" t="s">
        <v>21</v>
      </c>
      <c r="B26" s="4" t="s">
        <v>41</v>
      </c>
      <c r="C26" s="5">
        <v>2.2877859899999999E-2</v>
      </c>
      <c r="D26" s="5">
        <v>0</v>
      </c>
      <c r="E26" s="4" t="s">
        <v>32</v>
      </c>
      <c r="F26" s="4" t="s">
        <v>54</v>
      </c>
      <c r="G26" s="5">
        <v>2.7803770200000001E-2</v>
      </c>
      <c r="H26" s="5">
        <v>0</v>
      </c>
      <c r="I26" s="4" t="s">
        <v>33</v>
      </c>
      <c r="J26" s="4" t="s">
        <v>54</v>
      </c>
      <c r="K26" s="5">
        <v>2.8210111100000001E-2</v>
      </c>
      <c r="L26" s="5">
        <v>0</v>
      </c>
    </row>
    <row r="27" spans="1:12" x14ac:dyDescent="0.25">
      <c r="A27" s="4" t="s">
        <v>22</v>
      </c>
      <c r="B27" s="4" t="s">
        <v>41</v>
      </c>
      <c r="C27" s="5">
        <v>2.28603569E-2</v>
      </c>
      <c r="D27" s="5">
        <v>0</v>
      </c>
      <c r="E27" s="4" t="s">
        <v>33</v>
      </c>
      <c r="F27" s="4" t="s">
        <v>54</v>
      </c>
      <c r="G27" s="5">
        <v>2.71213454E-2</v>
      </c>
      <c r="H27" s="5">
        <v>0</v>
      </c>
      <c r="I27" s="4" t="s">
        <v>34</v>
      </c>
      <c r="J27" s="4" t="s">
        <v>54</v>
      </c>
      <c r="K27" s="5">
        <v>2.7680747799999999E-2</v>
      </c>
      <c r="L27" s="5">
        <v>0</v>
      </c>
    </row>
    <row r="28" spans="1:12" x14ac:dyDescent="0.25">
      <c r="A28" s="4" t="s">
        <v>23</v>
      </c>
      <c r="B28" s="4" t="s">
        <v>41</v>
      </c>
      <c r="C28" s="5">
        <v>2.2998545700000001E-2</v>
      </c>
      <c r="D28" s="5">
        <v>0</v>
      </c>
      <c r="E28" s="4" t="s">
        <v>34</v>
      </c>
      <c r="F28" s="4" t="s">
        <v>54</v>
      </c>
      <c r="G28" s="5">
        <v>2.65880696E-2</v>
      </c>
      <c r="H28" s="5">
        <v>0</v>
      </c>
    </row>
    <row r="29" spans="1:12" x14ac:dyDescent="0.25">
      <c r="A29" s="4" t="s">
        <v>24</v>
      </c>
      <c r="B29" s="4" t="s">
        <v>41</v>
      </c>
      <c r="C29" s="5">
        <v>2.31900326E-2</v>
      </c>
      <c r="D29" s="5">
        <v>0</v>
      </c>
    </row>
    <row r="30" spans="1:12" x14ac:dyDescent="0.25">
      <c r="A30" s="4" t="s">
        <v>25</v>
      </c>
      <c r="B30" s="4" t="s">
        <v>41</v>
      </c>
      <c r="C30" s="5">
        <v>2.3457467799999999E-2</v>
      </c>
      <c r="D30" s="5">
        <v>0</v>
      </c>
    </row>
    <row r="31" spans="1:12" x14ac:dyDescent="0.25">
      <c r="A31" s="4" t="s">
        <v>26</v>
      </c>
      <c r="B31" s="4" t="s">
        <v>41</v>
      </c>
      <c r="C31" s="5">
        <v>2.3748781900000002E-2</v>
      </c>
      <c r="D31" s="5">
        <v>0</v>
      </c>
    </row>
    <row r="32" spans="1:12" x14ac:dyDescent="0.25">
      <c r="A32" s="4" t="s">
        <v>27</v>
      </c>
      <c r="B32" s="4" t="s">
        <v>41</v>
      </c>
      <c r="C32" s="5">
        <v>2.4042227400000001E-2</v>
      </c>
      <c r="D32" s="5">
        <v>0</v>
      </c>
    </row>
    <row r="33" spans="1:4" x14ac:dyDescent="0.25">
      <c r="A33" s="4" t="s">
        <v>28</v>
      </c>
      <c r="B33" s="4" t="s">
        <v>41</v>
      </c>
      <c r="C33" s="5">
        <v>2.50314682E-2</v>
      </c>
      <c r="D33" s="5">
        <v>0</v>
      </c>
    </row>
    <row r="34" spans="1:4" x14ac:dyDescent="0.25">
      <c r="A34" s="4" t="s">
        <v>29</v>
      </c>
      <c r="B34" s="4" t="s">
        <v>41</v>
      </c>
      <c r="C34" s="5">
        <v>2.5353002699999998E-2</v>
      </c>
      <c r="D34" s="5">
        <v>0</v>
      </c>
    </row>
    <row r="35" spans="1:4" x14ac:dyDescent="0.25">
      <c r="A35" s="4" t="s">
        <v>30</v>
      </c>
      <c r="B35" s="4" t="s">
        <v>41</v>
      </c>
      <c r="C35" s="5">
        <v>2.5377782599999999E-2</v>
      </c>
      <c r="D35" s="5">
        <v>0</v>
      </c>
    </row>
    <row r="36" spans="1:4" x14ac:dyDescent="0.25">
      <c r="A36" s="4" t="s">
        <v>31</v>
      </c>
      <c r="B36" s="4" t="s">
        <v>41</v>
      </c>
      <c r="C36" s="5">
        <v>2.53199559E-2</v>
      </c>
      <c r="D36" s="5">
        <v>0</v>
      </c>
    </row>
    <row r="37" spans="1:4" x14ac:dyDescent="0.25">
      <c r="A37" s="4" t="s">
        <v>32</v>
      </c>
      <c r="B37" s="4" t="s">
        <v>41</v>
      </c>
      <c r="C37" s="5">
        <v>2.4905362699999999E-2</v>
      </c>
      <c r="D37" s="5">
        <v>0</v>
      </c>
    </row>
    <row r="38" spans="1:4" x14ac:dyDescent="0.25">
      <c r="A38" s="4" t="s">
        <v>33</v>
      </c>
      <c r="B38" s="4" t="s">
        <v>41</v>
      </c>
      <c r="C38" s="5">
        <v>2.4256956999999999E-2</v>
      </c>
      <c r="D38" s="5">
        <v>0</v>
      </c>
    </row>
    <row r="39" spans="1:4" x14ac:dyDescent="0.25">
      <c r="A39" s="4" t="s">
        <v>34</v>
      </c>
      <c r="B39" s="4" t="s">
        <v>41</v>
      </c>
      <c r="C39" s="5">
        <v>2.3752625499999999E-2</v>
      </c>
      <c r="D39" s="5">
        <v>0</v>
      </c>
    </row>
  </sheetData>
  <mergeCells count="16">
    <mergeCell ref="B6:D6"/>
    <mergeCell ref="F6:H6"/>
    <mergeCell ref="J2:L2"/>
    <mergeCell ref="J3:L3"/>
    <mergeCell ref="J4:L4"/>
    <mergeCell ref="J5:L5"/>
    <mergeCell ref="J6:L6"/>
    <mergeCell ref="A1:L1"/>
    <mergeCell ref="F2:H2"/>
    <mergeCell ref="F3:H3"/>
    <mergeCell ref="F4:H4"/>
    <mergeCell ref="F5:H5"/>
    <mergeCell ref="B2:D2"/>
    <mergeCell ref="B3:D3"/>
    <mergeCell ref="B4:D4"/>
    <mergeCell ref="B5:D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ibrationStandard" altText="Calibrate">
                <anchor moveWithCells="1" sizeWithCells="1">
                  <from>
                    <xdr:col>0</xdr:col>
                    <xdr:colOff>95250</xdr:colOff>
                    <xdr:row>0</xdr:row>
                    <xdr:rowOff>85725</xdr:rowOff>
                  </from>
                  <to>
                    <xdr:col>11</xdr:col>
                    <xdr:colOff>1038225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EBD50-38CF-4373-8614-B285A869F27A}">
  <sheetPr codeName="Sheet2"/>
  <dimension ref="A1:D21"/>
  <sheetViews>
    <sheetView workbookViewId="0">
      <selection activeCell="E22" sqref="E22"/>
    </sheetView>
  </sheetViews>
  <sheetFormatPr defaultRowHeight="15" x14ac:dyDescent="0.25"/>
  <cols>
    <col min="2" max="2" width="13.140625" customWidth="1"/>
    <col min="3" max="3" width="10.7109375" bestFit="1" customWidth="1"/>
  </cols>
  <sheetData>
    <row r="1" spans="1:4" x14ac:dyDescent="0.25">
      <c r="A1" t="s">
        <v>9</v>
      </c>
      <c r="B1" s="6">
        <v>43605</v>
      </c>
      <c r="C1" s="6">
        <v>43515</v>
      </c>
      <c r="D1">
        <f>ROUND(((B1-C1)/365)*12,0)</f>
        <v>3</v>
      </c>
    </row>
    <row r="2" spans="1:4" x14ac:dyDescent="0.25">
      <c r="A2" t="s">
        <v>12</v>
      </c>
      <c r="B2" s="6">
        <v>43788</v>
      </c>
      <c r="C2" s="6">
        <v>43515</v>
      </c>
      <c r="D2">
        <f t="shared" ref="D2:D21" si="0">ROUND(((B2-C2)/365)*12,0)</f>
        <v>9</v>
      </c>
    </row>
    <row r="3" spans="1:4" x14ac:dyDescent="0.25">
      <c r="A3" t="s">
        <v>15</v>
      </c>
      <c r="B3" s="6">
        <v>43880</v>
      </c>
      <c r="C3" s="6">
        <v>43515</v>
      </c>
      <c r="D3">
        <f t="shared" si="0"/>
        <v>12</v>
      </c>
    </row>
    <row r="4" spans="1:4" x14ac:dyDescent="0.25">
      <c r="A4" t="s">
        <v>18</v>
      </c>
      <c r="B4" s="6">
        <v>43881</v>
      </c>
      <c r="C4" s="6">
        <v>43515</v>
      </c>
      <c r="D4">
        <f t="shared" si="0"/>
        <v>12</v>
      </c>
    </row>
    <row r="5" spans="1:4" x14ac:dyDescent="0.25">
      <c r="A5" t="s">
        <v>48</v>
      </c>
      <c r="B5" s="6">
        <v>44062</v>
      </c>
      <c r="C5" s="6">
        <v>43515</v>
      </c>
      <c r="D5">
        <f>((B5-C5)/365)*12</f>
        <v>17.983561643835614</v>
      </c>
    </row>
    <row r="6" spans="1:4" x14ac:dyDescent="0.25">
      <c r="A6" t="s">
        <v>19</v>
      </c>
      <c r="B6" s="6">
        <v>44249</v>
      </c>
      <c r="C6" s="6">
        <v>43515</v>
      </c>
      <c r="D6">
        <f t="shared" si="0"/>
        <v>24</v>
      </c>
    </row>
    <row r="7" spans="1:4" x14ac:dyDescent="0.25">
      <c r="A7" t="s">
        <v>20</v>
      </c>
      <c r="B7" s="6">
        <v>44614</v>
      </c>
      <c r="C7" s="6">
        <v>43515</v>
      </c>
      <c r="D7">
        <f t="shared" si="0"/>
        <v>36</v>
      </c>
    </row>
    <row r="8" spans="1:4" x14ac:dyDescent="0.25">
      <c r="A8" t="s">
        <v>21</v>
      </c>
      <c r="B8" s="6">
        <v>44978</v>
      </c>
      <c r="C8" s="6">
        <v>43515</v>
      </c>
      <c r="D8">
        <f t="shared" si="0"/>
        <v>48</v>
      </c>
    </row>
    <row r="9" spans="1:4" x14ac:dyDescent="0.25">
      <c r="A9" t="s">
        <v>22</v>
      </c>
      <c r="B9" s="6">
        <v>45342</v>
      </c>
      <c r="C9" s="6">
        <v>43515</v>
      </c>
      <c r="D9">
        <f t="shared" si="0"/>
        <v>60</v>
      </c>
    </row>
    <row r="10" spans="1:4" x14ac:dyDescent="0.25">
      <c r="A10" t="s">
        <v>23</v>
      </c>
      <c r="B10" s="6">
        <v>45708</v>
      </c>
      <c r="C10" s="6">
        <v>43515</v>
      </c>
      <c r="D10">
        <f t="shared" si="0"/>
        <v>72</v>
      </c>
    </row>
    <row r="11" spans="1:4" x14ac:dyDescent="0.25">
      <c r="A11" t="s">
        <v>24</v>
      </c>
      <c r="B11" s="6">
        <v>46073</v>
      </c>
      <c r="C11" s="6">
        <v>43515</v>
      </c>
      <c r="D11">
        <f t="shared" si="0"/>
        <v>84</v>
      </c>
    </row>
    <row r="12" spans="1:4" x14ac:dyDescent="0.25">
      <c r="A12" t="s">
        <v>25</v>
      </c>
      <c r="B12" s="6">
        <v>46440</v>
      </c>
      <c r="C12" s="6">
        <v>43515</v>
      </c>
      <c r="D12">
        <f t="shared" si="0"/>
        <v>96</v>
      </c>
    </row>
    <row r="13" spans="1:4" x14ac:dyDescent="0.25">
      <c r="A13" t="s">
        <v>26</v>
      </c>
      <c r="B13" s="6">
        <v>46805</v>
      </c>
      <c r="C13" s="6">
        <v>43515</v>
      </c>
      <c r="D13">
        <f t="shared" si="0"/>
        <v>108</v>
      </c>
    </row>
    <row r="14" spans="1:4" x14ac:dyDescent="0.25">
      <c r="A14" t="s">
        <v>27</v>
      </c>
      <c r="B14" s="6">
        <v>47169</v>
      </c>
      <c r="C14" s="6">
        <v>43515</v>
      </c>
      <c r="D14">
        <f t="shared" si="0"/>
        <v>120</v>
      </c>
    </row>
    <row r="15" spans="1:4" x14ac:dyDescent="0.25">
      <c r="A15" t="s">
        <v>28</v>
      </c>
      <c r="B15" s="6">
        <v>48996</v>
      </c>
      <c r="C15" s="6">
        <v>43515</v>
      </c>
      <c r="D15">
        <f t="shared" si="0"/>
        <v>180</v>
      </c>
    </row>
    <row r="16" spans="1:4" x14ac:dyDescent="0.25">
      <c r="A16" t="s">
        <v>29</v>
      </c>
      <c r="B16" s="6">
        <v>50823</v>
      </c>
      <c r="C16" s="6">
        <v>43515</v>
      </c>
      <c r="D16">
        <f t="shared" si="0"/>
        <v>240</v>
      </c>
    </row>
    <row r="17" spans="1:4" x14ac:dyDescent="0.25">
      <c r="A17" t="s">
        <v>30</v>
      </c>
      <c r="B17" s="6">
        <v>52649</v>
      </c>
      <c r="C17" s="6">
        <v>43515</v>
      </c>
      <c r="D17">
        <f t="shared" si="0"/>
        <v>300</v>
      </c>
    </row>
    <row r="18" spans="1:4" x14ac:dyDescent="0.25">
      <c r="A18" t="s">
        <v>31</v>
      </c>
      <c r="B18" s="6">
        <v>54476</v>
      </c>
      <c r="C18" s="6">
        <v>43515</v>
      </c>
      <c r="D18">
        <f t="shared" si="0"/>
        <v>360</v>
      </c>
    </row>
    <row r="19" spans="1:4" x14ac:dyDescent="0.25">
      <c r="A19" t="s">
        <v>32</v>
      </c>
      <c r="B19" s="6">
        <v>58126</v>
      </c>
      <c r="C19" s="6">
        <v>43515</v>
      </c>
      <c r="D19">
        <f t="shared" si="0"/>
        <v>480</v>
      </c>
    </row>
    <row r="20" spans="1:4" x14ac:dyDescent="0.25">
      <c r="A20" t="s">
        <v>33</v>
      </c>
      <c r="B20" s="6">
        <v>61779</v>
      </c>
      <c r="C20" s="6">
        <v>43515</v>
      </c>
      <c r="D20">
        <f t="shared" si="0"/>
        <v>600</v>
      </c>
    </row>
    <row r="21" spans="1:4" x14ac:dyDescent="0.25">
      <c r="A21" t="s">
        <v>34</v>
      </c>
      <c r="B21" s="6">
        <v>65432</v>
      </c>
      <c r="C21" s="6">
        <v>43515</v>
      </c>
      <c r="D21">
        <f t="shared" si="0"/>
        <v>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Single-Currency Calibration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Tommaso Belluzzo</dc:creator>
  <cp:lastModifiedBy>Tommaso Belluzzo</cp:lastModifiedBy>
  <dcterms:created xsi:type="dcterms:W3CDTF">2015-06-05T18:17:20Z</dcterms:created>
  <dcterms:modified xsi:type="dcterms:W3CDTF">2019-03-11T00:42:16Z</dcterms:modified>
</cp:coreProperties>
</file>